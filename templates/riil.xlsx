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men\Downloads\"/>
    </mc:Choice>
  </mc:AlternateContent>
  <xr:revisionPtr revIDLastSave="0" documentId="13_ncr:1_{6C3804A3-F81F-4F1A-969A-61D6EDB000F4}" xr6:coauthVersionLast="47" xr6:coauthVersionMax="47" xr10:uidLastSave="{00000000-0000-0000-0000-000000000000}"/>
  <bookViews>
    <workbookView xWindow="-108" yWindow="-108" windowWidth="23256" windowHeight="13896" tabRatio="769" firstSheet="0" activeTab="0" xr2:uid="{00000000-000D-0000-FFFF-FFFF00000000}"/>
  </bookViews>
  <sheets>
    <sheet name="RIL SPPD DLM DAERAH (2)" sheetId="22" r:id="rId3"/>
  </sheets>
  <definedNames>
    <definedName name="_xlnm.Print_Area" localSheetId="0">'RIL SPPD DLM DAERAH (2)'!$B$1:$R$52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7" authorId="0" shapeId="0" xr:uid="{00000000-0006-0000-0200-000001000000}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YANG TIDAK MENGINAP DI POT 30 % SESUAI TARIF DI PERBUP</t>
        </r>
      </text>
    </comment>
    <comment ref="C18" authorId="0" shapeId="0" xr:uid="{00000000-0006-0000-0200-000002000000}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YANG TIDAK MENGINAP DI POT 30 % SESUAI TARIF DI PERBUP</t>
        </r>
      </text>
    </comment>
    <comment ref="C19" authorId="0" shapeId="0" xr:uid="{00000000-0006-0000-0200-000003000000}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DIBAYAR KALO KADIS YG MELAKUKAN SPPD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-421]dd\ mmmm\ yyyy;@"/>
    <numFmt numFmtId="169" formatCode="[$-409]d\-mmm\-yyyy;@"/>
    <numFmt numFmtId="170" formatCode="_(&quot;Rp&quot;* #,##0_);_(&quot;Rp&quot;* \(#,##0\);_(&quot;Rp&quot;* &quot;-&quot;_);_(@_)"/>
    <numFmt numFmtId="171" formatCode="_([$Rp-421]* #,##0_);_([$Rp-421]* \(#,##0\);_([$Rp-421]* &quot;-&quot;_);_(@_)"/>
  </numFmts>
  <fonts count="27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indexed="8"/>
      <name val="Tahoma"/>
      <charset val="134"/>
    </font>
    <font>
      <b/>
      <sz val="14"/>
      <color indexed="8"/>
      <name val="Tahoma"/>
      <charset val="134"/>
    </font>
    <font>
      <i/>
      <sz val="11"/>
      <color indexed="8"/>
      <name val="Tahoma"/>
      <charset val="134"/>
    </font>
    <font>
      <sz val="11"/>
      <color theme="1"/>
      <name val="Arial Narrow"/>
      <charset val="134"/>
    </font>
    <font>
      <sz val="16"/>
      <color theme="1"/>
      <name val="Arial Narrow"/>
      <charset val="134"/>
    </font>
    <font>
      <b/>
      <sz val="11"/>
      <color theme="1"/>
      <name val="Arial Narrow"/>
      <charset val="134"/>
    </font>
    <font>
      <i/>
      <sz val="10"/>
      <color theme="1"/>
      <name val="Arial Narrow"/>
      <charset val="134"/>
    </font>
    <font>
      <sz val="11"/>
      <name val="Arial Narrow"/>
      <charset val="134"/>
    </font>
    <font>
      <i/>
      <sz val="11"/>
      <color theme="1"/>
      <name val="Arial Narrow"/>
      <charset val="134"/>
    </font>
    <font>
      <b/>
      <sz val="12"/>
      <color theme="1"/>
      <name val="Arial Narrow"/>
      <charset val="134"/>
    </font>
    <font>
      <sz val="11"/>
      <color indexed="8"/>
      <name val="Arial Narrow"/>
      <charset val="134"/>
    </font>
    <font>
      <b/>
      <sz val="12"/>
      <color indexed="8"/>
      <name val="Arial Narrow"/>
      <charset val="134"/>
    </font>
    <font>
      <b/>
      <sz val="10"/>
      <color indexed="8"/>
      <name val="Calibri"/>
      <charset val="134"/>
    </font>
    <font>
      <sz val="10"/>
      <name val="Tahoma"/>
      <charset val="134"/>
    </font>
    <font>
      <b/>
      <sz val="16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name val="Tahoma"/>
      <charset val="134"/>
    </font>
    <font>
      <b/>
      <sz val="9"/>
      <name val="Tahoma"/>
      <charset val="134"/>
    </font>
    <font>
      <b/>
      <sz val="12"/>
      <color theme="1"/>
      <name val="Arial Narrow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</cellStyleXfs>
  <cellXfs count="152">
    <xf numFmtId="0" fontId="0" fillId="0" borderId="0" xfId="0"/>
    <xf numFmtId="166" fontId="0" fillId="2" borderId="0" xfId="1" applyNumberFormat="1" applyFont="1" applyFill="1" applyAlignment="1">
      <alignment horizontal="center"/>
    </xf>
    <xf numFmtId="166" fontId="0" fillId="2" borderId="0" xfId="0" applyNumberFormat="1" applyFill="1"/>
    <xf numFmtId="0" fontId="0" fillId="2" borderId="0" xfId="0" applyFill="1"/>
    <xf numFmtId="166" fontId="2" fillId="2" borderId="2" xfId="1" applyNumberFormat="1" applyFont="1" applyFill="1" applyBorder="1" applyAlignment="1">
      <alignment horizontal="center" vertical="center" wrapText="1"/>
    </xf>
    <xf numFmtId="166" fontId="2" fillId="2" borderId="2" xfId="1" applyNumberFormat="1" applyFont="1" applyFill="1" applyBorder="1" applyAlignment="1">
      <alignment horizontal="center" vertical="center"/>
    </xf>
    <xf numFmtId="166" fontId="0" fillId="2" borderId="2" xfId="1" applyNumberFormat="1" applyFont="1" applyFill="1" applyBorder="1" applyAlignment="1">
      <alignment horizontal="center"/>
    </xf>
    <xf numFmtId="166" fontId="0" fillId="2" borderId="2" xfId="0" applyNumberFormat="1" applyFill="1" applyBorder="1" applyAlignment="1">
      <alignment horizontal="left"/>
    </xf>
    <xf numFmtId="166" fontId="0" fillId="2" borderId="2" xfId="0" applyNumberFormat="1" applyFill="1" applyBorder="1" applyAlignment="1">
      <alignment horizontal="left" wrapText="1"/>
    </xf>
    <xf numFmtId="166" fontId="0" fillId="2" borderId="2" xfId="1" applyNumberFormat="1" applyFont="1" applyFill="1" applyBorder="1" applyAlignment="1">
      <alignment horizontal="left" wrapText="1"/>
    </xf>
    <xf numFmtId="166" fontId="0" fillId="2" borderId="2" xfId="1" applyNumberFormat="1" applyFont="1" applyFill="1" applyBorder="1"/>
    <xf numFmtId="166" fontId="2" fillId="2" borderId="2" xfId="1" applyNumberFormat="1" applyFont="1" applyFill="1" applyBorder="1" applyAlignment="1">
      <alignment horizontal="left" wrapText="1"/>
    </xf>
    <xf numFmtId="49" fontId="0" fillId="2" borderId="2" xfId="0" applyNumberFormat="1" applyFill="1" applyBorder="1"/>
    <xf numFmtId="166" fontId="0" fillId="0" borderId="2" xfId="1" applyNumberFormat="1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49" fontId="0" fillId="0" borderId="2" xfId="0" applyNumberFormat="1" applyBorder="1"/>
    <xf numFmtId="166" fontId="0" fillId="0" borderId="2" xfId="1" applyNumberFormat="1" applyFont="1" applyBorder="1"/>
    <xf numFmtId="0" fontId="0" fillId="0" borderId="2" xfId="0" applyBorder="1"/>
    <xf numFmtId="166" fontId="2" fillId="0" borderId="2" xfId="0" applyNumberFormat="1" applyFont="1" applyBorder="1"/>
    <xf numFmtId="166" fontId="1" fillId="2" borderId="2" xfId="0" applyNumberFormat="1" applyFont="1" applyFill="1" applyBorder="1"/>
    <xf numFmtId="0" fontId="2" fillId="0" borderId="0" xfId="0" applyFont="1" applyAlignment="1">
      <alignment horizontal="center" vertical="center"/>
    </xf>
    <xf numFmtId="167" fontId="0" fillId="0" borderId="0" xfId="1" applyNumberFormat="1" applyFont="1"/>
    <xf numFmtId="166" fontId="0" fillId="0" borderId="0" xfId="1" applyNumberFormat="1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7" fontId="2" fillId="0" borderId="2" xfId="1" applyNumberFormat="1" applyFont="1" applyBorder="1" applyAlignment="1">
      <alignment horizontal="center" vertical="center"/>
    </xf>
    <xf numFmtId="166" fontId="2" fillId="0" borderId="2" xfId="1" applyNumberFormat="1" applyFont="1" applyBorder="1" applyAlignment="1">
      <alignment horizontal="center" vertical="center"/>
    </xf>
    <xf numFmtId="167" fontId="0" fillId="0" borderId="2" xfId="1" applyNumberFormat="1" applyFont="1" applyBorder="1"/>
    <xf numFmtId="166" fontId="0" fillId="2" borderId="2" xfId="1" applyNumberFormat="1" applyFont="1" applyFill="1" applyBorder="1" applyAlignment="1">
      <alignment horizontal="left"/>
    </xf>
    <xf numFmtId="165" fontId="0" fillId="0" borderId="0" xfId="1" applyFont="1"/>
    <xf numFmtId="0" fontId="6" fillId="2" borderId="0" xfId="0" applyFont="1" applyFill="1"/>
    <xf numFmtId="164" fontId="6" fillId="2" borderId="0" xfId="2" applyFont="1" applyFill="1"/>
    <xf numFmtId="0" fontId="6" fillId="2" borderId="0" xfId="0" applyFont="1" applyFill="1" applyAlignment="1">
      <alignment horizontal="center"/>
    </xf>
    <xf numFmtId="0" fontId="6" fillId="3" borderId="0" xfId="0" applyFont="1" applyFill="1"/>
    <xf numFmtId="169" fontId="6" fillId="2" borderId="0" xfId="0" applyNumberFormat="1" applyFont="1" applyFill="1" applyAlignment="1">
      <alignment horizontal="left"/>
    </xf>
    <xf numFmtId="169" fontId="6" fillId="2" borderId="0" xfId="0" applyNumberFormat="1" applyFont="1" applyFill="1" applyAlignment="1">
      <alignment horizontal="left" vertical="top"/>
    </xf>
    <xf numFmtId="169" fontId="6" fillId="2" borderId="0" xfId="0" applyNumberFormat="1" applyFont="1" applyFill="1"/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170" fontId="8" fillId="2" borderId="2" xfId="2" applyNumberFormat="1" applyFont="1" applyFill="1" applyBorder="1"/>
    <xf numFmtId="0" fontId="9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170" fontId="6" fillId="2" borderId="2" xfId="2" applyNumberFormat="1" applyFont="1" applyFill="1" applyBorder="1"/>
    <xf numFmtId="0" fontId="6" fillId="2" borderId="2" xfId="0" applyFont="1" applyFill="1" applyBorder="1" applyAlignment="1">
      <alignment vertical="top"/>
    </xf>
    <xf numFmtId="0" fontId="0" fillId="2" borderId="2" xfId="0" applyFill="1" applyBorder="1"/>
    <xf numFmtId="0" fontId="8" fillId="2" borderId="3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170" fontId="8" fillId="2" borderId="2" xfId="2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2" borderId="3" xfId="0" applyFont="1" applyFill="1" applyBorder="1"/>
    <xf numFmtId="0" fontId="6" fillId="2" borderId="4" xfId="0" applyFont="1" applyFill="1" applyBorder="1"/>
    <xf numFmtId="164" fontId="6" fillId="2" borderId="4" xfId="2" applyFont="1" applyFill="1" applyBorder="1"/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/>
    <xf numFmtId="164" fontId="6" fillId="2" borderId="0" xfId="2" applyFont="1" applyFill="1" applyAlignment="1">
      <alignment horizontal="center"/>
    </xf>
    <xf numFmtId="170" fontId="6" fillId="2" borderId="0" xfId="0" applyNumberFormat="1" applyFont="1" applyFill="1" applyAlignment="1">
      <alignment wrapText="1"/>
    </xf>
    <xf numFmtId="170" fontId="11" fillId="2" borderId="0" xfId="2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0" fontId="12" fillId="2" borderId="0" xfId="0" applyFont="1" applyFill="1"/>
    <xf numFmtId="0" fontId="2" fillId="2" borderId="0" xfId="0" applyFont="1" applyFill="1"/>
    <xf numFmtId="0" fontId="13" fillId="2" borderId="0" xfId="0" applyFont="1" applyFill="1"/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2" fillId="2" borderId="0" xfId="0" applyFont="1" applyFill="1" applyAlignment="1">
      <alignment horizontal="right" vertical="center"/>
    </xf>
    <xf numFmtId="0" fontId="6" fillId="2" borderId="15" xfId="0" applyFont="1" applyFill="1" applyBorder="1"/>
    <xf numFmtId="164" fontId="6" fillId="2" borderId="15" xfId="2" applyFont="1" applyFill="1" applyBorder="1"/>
    <xf numFmtId="0" fontId="6" fillId="2" borderId="15" xfId="0" applyFont="1" applyFill="1" applyBorder="1" applyAlignment="1">
      <alignment horizontal="center"/>
    </xf>
    <xf numFmtId="164" fontId="6" fillId="2" borderId="0" xfId="2" applyFont="1" applyFill="1" applyAlignment="1">
      <alignment horizontal="right"/>
    </xf>
    <xf numFmtId="170" fontId="6" fillId="2" borderId="0" xfId="0" applyNumberFormat="1" applyFont="1" applyFill="1"/>
    <xf numFmtId="164" fontId="8" fillId="2" borderId="0" xfId="2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164" fontId="12" fillId="2" borderId="0" xfId="2" applyFont="1" applyFill="1" applyAlignment="1"/>
    <xf numFmtId="0" fontId="16" fillId="2" borderId="0" xfId="0" applyFont="1" applyFill="1" applyAlignment="1">
      <alignment horizontal="center" vertical="center"/>
    </xf>
    <xf numFmtId="164" fontId="6" fillId="2" borderId="0" xfId="2" applyFont="1" applyFill="1" applyBorder="1"/>
    <xf numFmtId="0" fontId="18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 wrapText="1"/>
    </xf>
    <xf numFmtId="171" fontId="18" fillId="0" borderId="2" xfId="0" applyNumberFormat="1" applyFont="1" applyBorder="1" applyAlignment="1">
      <alignment horizontal="left" wrapText="1"/>
    </xf>
    <xf numFmtId="171" fontId="18" fillId="0" borderId="2" xfId="0" applyNumberFormat="1" applyFont="1" applyBorder="1" applyAlignment="1">
      <alignment horizontal="left"/>
    </xf>
    <xf numFmtId="166" fontId="18" fillId="0" borderId="2" xfId="1" applyNumberFormat="1" applyFont="1" applyBorder="1" applyAlignment="1">
      <alignment horizontal="left" wrapText="1"/>
    </xf>
    <xf numFmtId="166" fontId="18" fillId="0" borderId="2" xfId="1" applyNumberFormat="1" applyFont="1" applyBorder="1" applyAlignment="1">
      <alignment horizontal="left"/>
    </xf>
    <xf numFmtId="171" fontId="19" fillId="0" borderId="2" xfId="0" applyNumberFormat="1" applyFont="1" applyBorder="1" applyAlignment="1">
      <alignment horizontal="left" wrapText="1"/>
    </xf>
    <xf numFmtId="0" fontId="18" fillId="0" borderId="2" xfId="0" applyFont="1" applyBorder="1"/>
    <xf numFmtId="166" fontId="18" fillId="0" borderId="2" xfId="1" applyNumberFormat="1" applyFont="1" applyBorder="1"/>
    <xf numFmtId="15" fontId="18" fillId="0" borderId="2" xfId="0" applyNumberFormat="1" applyFont="1" applyBorder="1" applyAlignment="1">
      <alignment horizontal="left" wrapText="1"/>
    </xf>
    <xf numFmtId="0" fontId="0" fillId="0" borderId="2" xfId="0" applyBorder="1" applyAlignment="1">
      <alignment horizontal="left"/>
    </xf>
    <xf numFmtId="171" fontId="2" fillId="0" borderId="2" xfId="0" applyNumberFormat="1" applyFont="1" applyBorder="1" applyAlignment="1">
      <alignment horizontal="left" wrapText="1"/>
    </xf>
    <xf numFmtId="0" fontId="0" fillId="0" borderId="0" xfId="0" applyAlignment="1">
      <alignment wrapText="1"/>
    </xf>
    <xf numFmtId="171" fontId="0" fillId="0" borderId="12" xfId="0" applyNumberFormat="1" applyBorder="1" applyAlignment="1">
      <alignment horizontal="left" wrapText="1"/>
    </xf>
    <xf numFmtId="0" fontId="2" fillId="0" borderId="0" xfId="0" applyFont="1" applyAlignment="1">
      <alignment horizontal="right"/>
    </xf>
    <xf numFmtId="166" fontId="2" fillId="0" borderId="1" xfId="1" applyNumberFormat="1" applyFont="1" applyBorder="1"/>
    <xf numFmtId="170" fontId="0" fillId="2" borderId="2" xfId="1" quotePrefix="1" applyNumberFormat="1" applyFont="1" applyFill="1" applyBorder="1" applyAlignment="1">
      <alignment horizontal="left"/>
    </xf>
    <xf numFmtId="170" fontId="6" fillId="2" borderId="2" xfId="2" quotePrefix="1" applyNumberFormat="1" applyFont="1" applyFill="1" applyBorder="1"/>
    <xf numFmtId="0" fontId="12" fillId="2" borderId="0" xfId="0" quotePrefix="1" applyFont="1" applyFill="1"/>
    <xf numFmtId="164" fontId="12" fillId="2" borderId="0" xfId="2" quotePrefix="1" applyFont="1" applyFill="1" applyAlignment="1"/>
    <xf numFmtId="164" fontId="23" fillId="2" borderId="0" xfId="2" quotePrefix="1" applyFont="1" applyFill="1"/>
    <xf numFmtId="0" fontId="4" fillId="2" borderId="0" xfId="0" applyFont="1" applyFill="1" applyAlignment="1">
      <alignment horizontal="center"/>
    </xf>
    <xf numFmtId="0" fontId="9" fillId="2" borderId="13" xfId="0" quotePrefix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8" fontId="6" fillId="2" borderId="0" xfId="0" applyNumberFormat="1" applyFont="1" applyFill="1" applyAlignment="1">
      <alignment horizontal="left"/>
    </xf>
    <xf numFmtId="170" fontId="8" fillId="2" borderId="0" xfId="0" quotePrefix="1" applyNumberFormat="1" applyFont="1" applyFill="1" applyAlignment="1">
      <alignment horizontal="left"/>
    </xf>
    <xf numFmtId="170" fontId="8" fillId="2" borderId="0" xfId="0" applyNumberFormat="1" applyFont="1" applyFill="1" applyAlignment="1">
      <alignment horizontal="left"/>
    </xf>
    <xf numFmtId="164" fontId="8" fillId="2" borderId="9" xfId="2" applyFont="1" applyFill="1" applyBorder="1" applyAlignment="1">
      <alignment horizontal="center" vertical="center"/>
    </xf>
    <xf numFmtId="164" fontId="8" fillId="2" borderId="12" xfId="2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170" fontId="11" fillId="2" borderId="0" xfId="0" applyNumberFormat="1" applyFont="1" applyFill="1" applyAlignment="1">
      <alignment horizontal="center" wrapText="1"/>
    </xf>
    <xf numFmtId="164" fontId="6" fillId="2" borderId="0" xfId="2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70" fontId="8" fillId="2" borderId="0" xfId="0" applyNumberFormat="1" applyFont="1" applyFill="1"/>
    <xf numFmtId="49" fontId="6" fillId="2" borderId="0" xfId="2" applyNumberFormat="1" applyFont="1" applyFill="1" applyAlignment="1">
      <alignment horizontal="left"/>
    </xf>
    <xf numFmtId="0" fontId="9" fillId="2" borderId="1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66" fontId="1" fillId="2" borderId="3" xfId="0" applyNumberFormat="1" applyFont="1" applyFill="1" applyBorder="1" applyAlignment="1">
      <alignment horizontal="center"/>
    </xf>
    <xf numFmtId="166" fontId="1" fillId="2" borderId="4" xfId="0" applyNumberFormat="1" applyFont="1" applyFill="1" applyBorder="1" applyAlignment="1">
      <alignment horizontal="center"/>
    </xf>
    <xf numFmtId="166" fontId="1" fillId="2" borderId="5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3" Type="http://schemas.openxmlformats.org/officeDocument/2006/relationships/worksheet" Target="worksheets/sheet3.xml"/><Relationship Id="rId11" Type="http://schemas.openxmlformats.org/officeDocument/2006/relationships/styles" Target="styles.xml"/><Relationship Id="rId10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97694</xdr:colOff>
      <xdr:row>0</xdr:row>
      <xdr:rowOff>0</xdr:rowOff>
    </xdr:from>
    <xdr:to>
      <xdr:col>2</xdr:col>
      <xdr:colOff>476252</xdr:colOff>
      <xdr:row>2</xdr:row>
      <xdr:rowOff>158750</xdr:rowOff>
    </xdr:to>
    <xdr:pic>
      <xdr:nvPicPr>
        <xdr:cNvPr id="2" name="Picture 1" descr="mitr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95" y="0"/>
          <a:ext cx="645795" cy="6007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180736</xdr:colOff>
      <xdr:row>0</xdr:row>
      <xdr:rowOff>0</xdr:rowOff>
    </xdr:from>
    <xdr:to>
      <xdr:col>16</xdr:col>
      <xdr:colOff>332891</xdr:colOff>
      <xdr:row>2</xdr:row>
      <xdr:rowOff>183173</xdr:rowOff>
    </xdr:to>
    <xdr:pic>
      <xdr:nvPicPr>
        <xdr:cNvPr id="10" name="Picture 9" descr="D:\LAPORAN BULANAN\logo dinas kesehtan baru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82180" y="0"/>
          <a:ext cx="670560" cy="6248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107461</xdr:colOff>
      <xdr:row>5</xdr:row>
      <xdr:rowOff>39077</xdr:rowOff>
    </xdr:from>
    <xdr:to>
      <xdr:col>16</xdr:col>
      <xdr:colOff>195385</xdr:colOff>
      <xdr:row>5</xdr:row>
      <xdr:rowOff>58615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7FF2B52-C000-3192-1629-36D2834E37EE}"/>
            </a:ext>
          </a:extLst>
        </xdr:cNvPr>
        <xdr:cNvCxnSpPr/>
      </xdr:nvCxnSpPr>
      <xdr:spPr>
        <a:xfrm flipV="1">
          <a:off x="732692" y="1084385"/>
          <a:ext cx="7082693" cy="1953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52"/>
  <sheetViews>
    <sheetView tabSelected="1" view="pageBreakPreview" zoomScale="60" zoomScaleNormal="78" workbookViewId="0">
      <selection activeCell="W32" sqref="W32"/>
    </sheetView>
  </sheetViews>
  <sheetFormatPr defaultColWidth="9.109375" defaultRowHeight="14.4"/>
  <cols>
    <col min="1" max="1" width="9.109375" style="3"/>
    <col min="2" max="2" width="3.88671875" style="3" customWidth="1"/>
    <col min="3" max="3" width="15.33203125" style="3" customWidth="1"/>
    <col min="4" max="4" width="1.5546875" style="3" customWidth="1"/>
    <col min="5" max="5" width="6.5546875" style="3" customWidth="1"/>
    <col min="6" max="10" width="3.109375" style="3" customWidth="1"/>
    <col min="11" max="11" width="8" style="3" customWidth="1"/>
    <col min="12" max="12" width="4.88671875" style="3" customWidth="1"/>
    <col min="13" max="13" width="12" style="3" customWidth="1"/>
    <col min="14" max="14" width="6.6640625" style="3" customWidth="1"/>
    <col min="15" max="15" width="20" style="3" customWidth="1"/>
    <col min="16" max="16" width="7.5546875" style="3" customWidth="1"/>
    <col min="17" max="17" width="5.109375" style="3" customWidth="1"/>
    <col min="18" max="18" width="0.77734375" style="3" customWidth="1"/>
    <col min="19" max="19" width="9.109375" style="3"/>
    <col min="20" max="20" width="15.88671875" style="3" customWidth="1"/>
    <col min="21" max="16384" width="9.109375" style="3"/>
  </cols>
  <sheetData>
    <row r="1" spans="2:18" ht="17.399999999999999">
      <c r="B1" s="114" t="inlineStr">
        <is>
          <r>
            <rPr>
              <b/>
              <sz val="14"/>
              <color indexed="8"/>
              <rFont val="Tahoma"/>
              <charset val="134"/>
            </rPr>
            <t>PEMERINTAH KABUPATEN MINAHASA TENGGARA</t>
          </r>
          <r>
            <rPr>
              <sz val="14"/>
              <color indexed="8"/>
              <rFont val="Tahoma"/>
              <charset val="134"/>
            </rPr>
            <t xml:space="preserve"> </t>
          </r>
        </is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</row>
    <row r="2" spans="2:18" ht="17.399999999999999">
      <c r="B2" s="115" t="inlineStr">
        <is>
          <t>DINAS KESEHATAN</t>
        </is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</row>
    <row r="3" spans="2:18" ht="17.399999999999999" customHeight="1">
      <c r="B3" s="107"/>
      <c r="C3" s="107"/>
      <c r="D3" s="107"/>
      <c r="E3" s="107"/>
      <c r="F3" s="107"/>
      <c r="G3" s="107"/>
      <c r="H3" s="107"/>
      <c r="I3" s="151" t="inlineStr">
        <is>
          <t>UPTD PUSKESMAS SILIAN</t>
        </is>
      </c>
      <c r="J3" s="151"/>
      <c r="K3" s="151"/>
      <c r="L3" s="151"/>
      <c r="M3" s="151"/>
      <c r="N3" s="151"/>
      <c r="O3" s="151"/>
      <c r="P3" s="151"/>
      <c r="Q3" s="151"/>
      <c r="R3" s="107"/>
    </row>
    <row r="4" spans="2:18">
      <c r="B4" s="150" t="inlineStr">
        <is>
          <t>Jl. Puskesmas, Desa Silian Satu Kecamatan. Silian Raya</t>
        </is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48"/>
    </row>
    <row r="5" spans="2:18" ht="17.399999999999999" customHeight="1">
      <c r="B5" s="149" t="inlineStr">
        <is>
          <t>Telp :  081524737716   Email : uptdpuskesmassilian@gmail.com   Kode Pos : 95696</t>
        </is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30"/>
    </row>
    <row r="6" spans="2:18" ht="27.6" customHeight="1">
      <c r="B6" s="116" t="inlineStr">
        <is>
          <t>DAFTAR PENGELUARAN RIIL BIAYA PERJALANAN DINAS</t>
        </is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</row>
    <row r="7" spans="2:18">
      <c r="B7" s="33"/>
      <c r="C7" s="30"/>
      <c r="D7" s="30"/>
      <c r="E7" s="30"/>
      <c r="F7" s="30"/>
      <c r="G7" s="30"/>
      <c r="H7" s="30"/>
      <c r="I7" s="30"/>
      <c r="J7" s="30"/>
      <c r="K7" s="30"/>
      <c r="L7" s="30"/>
      <c r="M7" s="31"/>
      <c r="N7" s="32"/>
      <c r="O7" s="31"/>
      <c r="P7" s="30"/>
      <c r="Q7" s="30"/>
      <c r="R7" s="30"/>
    </row>
    <row r="8" spans="2:18">
      <c r="B8" s="30" t="inlineStr">
        <is>
          <t>Lampiran SPPD Nomor</t>
        </is>
      </c>
      <c r="C8" s="30"/>
      <c r="D8" s="30" t="inlineStr">
        <is>
          <t>:</t>
        </is>
      </c>
      <c r="E8" s="30" t="inlineStr">
        <is>
          <t>1314/440/DINKES-MT/PKM-SLN/SPPD-DD/VIII-2026</t>
        </is>
      </c>
      <c r="F8" s="30"/>
      <c r="G8" s="30"/>
      <c r="H8" s="30"/>
      <c r="I8" s="30"/>
      <c r="J8" s="30"/>
      <c r="K8" s="30"/>
      <c r="L8" s="30"/>
      <c r="M8" s="31"/>
      <c r="N8" s="32"/>
      <c r="O8" s="31"/>
      <c r="P8" s="30"/>
      <c r="Q8" s="30"/>
      <c r="R8" s="30"/>
    </row>
    <row r="9" spans="2:18">
      <c r="B9" s="30" t="inlineStr">
        <is>
          <t>Tanggal</t>
        </is>
      </c>
      <c r="C9" s="30"/>
      <c r="D9" s="30" t="inlineStr">
        <is>
          <t>:</t>
        </is>
      </c>
      <c r="E9" s="117" t="inlineStr">
        <is>
          <t>20 Agustus 2026</t>
        </is>
      </c>
      <c r="F9" s="117" t="e">
        <f>VLOOKUP(C8,(#REF!),2)</f>
        <v>#REF!</v>
      </c>
      <c r="G9" s="117" t="e">
        <f>VLOOKUP(D8,(#REF!),2)</f>
        <v>#REF!</v>
      </c>
      <c r="H9" s="117" t="e">
        <f>VLOOKUP(E8,(#REF!),2)</f>
        <v>#REF!</v>
      </c>
      <c r="I9" s="117" t="e">
        <f>VLOOKUP(F8,(#REF!),2)</f>
        <v>#REF!</v>
      </c>
      <c r="J9" s="117" t="e">
        <f>VLOOKUP(G8,(#REF!),2)</f>
        <v>#REF!</v>
      </c>
      <c r="K9" s="34"/>
      <c r="L9" s="30"/>
      <c r="M9" s="31"/>
      <c r="N9" s="32"/>
      <c r="O9" s="31"/>
      <c r="P9" s="30"/>
      <c r="Q9" s="30"/>
      <c r="R9" s="30"/>
    </row>
    <row r="10" spans="2:18">
      <c r="B10" s="30" t="inlineStr">
        <is>
          <t>Program</t>
        </is>
      </c>
      <c r="C10" s="30"/>
      <c r="D10" s="30" t="inlineStr">
        <is>
          <t>:</t>
        </is>
      </c>
      <c r="E10" s="35" t="inlineStr">
        <is>
          <t xml:space="preserve">Deteksi dini penyakit tidak menular </t>
        </is>
      </c>
      <c r="F10" s="36"/>
      <c r="G10" s="36"/>
      <c r="H10" s="36"/>
      <c r="I10" s="36"/>
      <c r="J10" s="34"/>
      <c r="K10" s="34"/>
      <c r="L10" s="30"/>
      <c r="M10" s="31"/>
      <c r="N10" s="32"/>
      <c r="O10" s="31"/>
      <c r="P10" s="30"/>
      <c r="Q10" s="30"/>
      <c r="R10" s="30"/>
    </row>
    <row r="11" spans="2:18" ht="17.399999999999999" customHeight="1">
      <c r="B11" s="30" t="inlineStr">
        <is>
          <t>Kegiatan</t>
        </is>
      </c>
      <c r="C11" s="30"/>
      <c r="D11" s="30" t="inlineStr">
        <is>
          <t>:</t>
        </is>
      </c>
      <c r="E11" s="30" t="inlineStr">
        <is>
          <t>Deteksi dini PTM dan Tindak Lanjut CKG</t>
        </is>
      </c>
      <c r="F11" s="30"/>
      <c r="G11" s="30"/>
      <c r="H11" s="30"/>
      <c r="I11" s="30"/>
      <c r="J11" s="30"/>
      <c r="K11" s="30"/>
      <c r="L11" s="30"/>
      <c r="M11" s="31"/>
      <c r="N11" s="32"/>
      <c r="O11" s="31"/>
      <c r="P11" s="30"/>
      <c r="Q11" s="30"/>
      <c r="R11" s="30"/>
    </row>
    <row r="12" spans="2:18">
      <c r="B12" s="30" t="inlineStr">
        <is>
          <t>Tujuan</t>
        </is>
      </c>
      <c r="C12" s="30"/>
      <c r="D12" s="30" t="inlineStr">
        <is>
          <t>:</t>
        </is>
      </c>
      <c r="E12" s="30" t="inlineStr">
        <is>
          <t>Silian Barat</t>
        </is>
      </c>
      <c r="F12" s="30"/>
      <c r="G12" s="30"/>
      <c r="H12" s="30"/>
      <c r="I12" s="30"/>
      <c r="J12" s="30"/>
      <c r="K12" s="30"/>
      <c r="L12" s="30"/>
      <c r="M12" s="31"/>
      <c r="N12" s="32"/>
      <c r="O12" s="31"/>
      <c r="P12" s="30"/>
      <c r="Q12" s="30"/>
      <c r="R12" s="30"/>
    </row>
    <row r="13" spans="2:18" ht="16.5" customHeight="1">
      <c r="B13" s="122" t="inlineStr">
        <is>
          <t>KOMPONEN BIAYA</t>
        </is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4"/>
      <c r="O13" s="120" t="inlineStr">
        <is>
          <t>Jumlah</t>
        </is>
      </c>
      <c r="P13" s="128" t="inlineStr">
        <is>
          <t>KETERANGAN</t>
        </is>
      </c>
      <c r="Q13" s="128"/>
      <c r="R13" s="128"/>
    </row>
    <row r="14" spans="2:18" ht="16.5" customHeight="1">
      <c r="B14" s="125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7"/>
      <c r="O14" s="121"/>
      <c r="P14" s="128"/>
      <c r="Q14" s="128"/>
      <c r="R14" s="128"/>
    </row>
    <row r="15" spans="2:18" ht="16.5" customHeight="1">
      <c r="B15" s="37">
        <v>1</v>
      </c>
      <c r="C15" s="38" t="inlineStr">
        <is>
          <t xml:space="preserve">Biaya Harian </t>
        </is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40"/>
      <c r="O15" s="41">
        <v>100000</v>
      </c>
      <c r="P15" s="134" t="str">
        <f>IF(O15&gt;0,"ada","tidak")</f>
        <v>ada</v>
      </c>
      <c r="Q15" s="109"/>
      <c r="R15" s="110"/>
    </row>
    <row r="16" spans="2:18">
      <c r="B16" s="45">
        <v>2</v>
      </c>
      <c r="C16" s="135" t="inlineStr">
        <is>
          <t>Biaya Transport</t>
        </is>
      </c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7"/>
      <c r="O16" s="102" t="inlineStr">
        <is>
          <t>Rp. -</t>
        </is>
      </c>
      <c r="P16" s="108" t="inlineStr">
        <is>
          <t>Tidak</t>
        </is>
      </c>
      <c r="Q16" s="109"/>
      <c r="R16" s="110"/>
    </row>
    <row r="17" spans="2:21">
      <c r="B17" s="45">
        <v>3</v>
      </c>
      <c r="C17" s="111" t="inlineStr">
        <is>
          <t>Biaya Penginapan</t>
        </is>
      </c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3"/>
      <c r="O17" s="48" t="inlineStr">
        <is>
          <t>Rp   -</t>
        </is>
      </c>
      <c r="P17" s="108" t="inlineStr">
        <is>
          <t>Tidak</t>
        </is>
      </c>
      <c r="Q17" s="109"/>
      <c r="R17" s="110"/>
    </row>
    <row r="18" spans="2:21" hidden="1">
      <c r="B18" s="49"/>
      <c r="C18" s="111" t="inlineStr">
        <is>
          <t xml:space="preserve">Biaya Yang Tidak Menggunakan Penginapan </t>
        </is>
      </c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3"/>
      <c r="O18" s="48" t="e">
        <f>VLOOKUP(B7,(#REF!),14)</f>
        <v>#REF!</v>
      </c>
      <c r="P18" s="42"/>
      <c r="Q18" s="43"/>
      <c r="R18" s="44"/>
    </row>
    <row r="19" spans="2:21">
      <c r="B19" s="45">
        <v>4</v>
      </c>
      <c r="C19" s="111" t="inlineStr">
        <is>
          <t>Uang representasi</t>
        </is>
      </c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3"/>
      <c r="O19" s="103" t="inlineStr">
        <is>
          <t>Rp.  -</t>
        </is>
      </c>
      <c r="P19" s="108" t="inlineStr">
        <is>
          <t>Tidak</t>
        </is>
      </c>
      <c r="Q19" s="109"/>
      <c r="R19" s="110"/>
    </row>
    <row r="20" spans="2:21">
      <c r="B20" s="45">
        <v>5</v>
      </c>
      <c r="C20" s="38" t="inlineStr">
        <is>
          <t>Sewa kendaraan dalam kota</t>
        </is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7"/>
      <c r="O20" s="102" t="inlineStr">
        <is>
          <t>Rp.  -</t>
        </is>
      </c>
      <c r="P20" s="108" t="inlineStr">
        <is>
          <t>Tidak</t>
        </is>
      </c>
      <c r="Q20" s="109"/>
      <c r="R20" s="110"/>
    </row>
    <row r="21" spans="2:21">
      <c r="B21" s="50"/>
      <c r="C21" s="51" t="inlineStr">
        <is>
          <t>JUMLAH</t>
        </is>
      </c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3"/>
      <c r="O21" s="54">
        <v>100000</v>
      </c>
      <c r="P21" s="55"/>
      <c r="Q21" s="56"/>
      <c r="R21" s="57"/>
    </row>
    <row r="22" spans="2:21">
      <c r="B22" s="58" t="inlineStr">
        <is>
          <t>Terbilang :</t>
        </is>
      </c>
      <c r="C22" s="59"/>
      <c r="D22" s="59" t="e">
        <f ca="1">[1]!terbilang(O21)&amp;" rupiah"</f>
        <v>#NAME?</v>
      </c>
      <c r="E22" s="59" t="inlineStr">
        <is>
          <t>Seratus Ribu Rupiah</t>
        </is>
      </c>
      <c r="F22" s="59"/>
      <c r="G22" s="59"/>
      <c r="H22" s="59"/>
      <c r="I22" s="59"/>
      <c r="J22" s="59"/>
      <c r="K22" s="59"/>
      <c r="L22" s="59"/>
      <c r="M22" s="60"/>
      <c r="N22" s="61"/>
      <c r="O22" s="60"/>
      <c r="P22" s="59"/>
      <c r="Q22" s="59"/>
      <c r="R22" s="62"/>
    </row>
    <row r="23" spans="2:21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1"/>
      <c r="N23" s="32"/>
      <c r="O23" s="31"/>
      <c r="P23" s="30"/>
      <c r="Q23" s="30"/>
      <c r="R23" s="30"/>
    </row>
    <row r="24" spans="2:21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1"/>
      <c r="N24" s="31"/>
      <c r="O24" s="133" t="inlineStr">
        <is>
          <t>Silian,   Agustus 2026</t>
        </is>
      </c>
      <c r="P24" s="133"/>
      <c r="Q24" s="30"/>
      <c r="R24" s="30"/>
    </row>
    <row r="25" spans="2:21"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1"/>
      <c r="N25" s="32"/>
      <c r="O25" s="31"/>
      <c r="P25" s="30"/>
      <c r="Q25" s="30"/>
      <c r="R25" s="30"/>
    </row>
    <row r="26" spans="2:21">
      <c r="B26" s="30" t="inlineStr">
        <is>
          <t>Biaya Riil sejumlah</t>
        </is>
      </c>
      <c r="C26" s="30"/>
      <c r="D26" s="30"/>
      <c r="E26" s="32" t="inlineStr">
        <is>
          <t xml:space="preserve"> </t>
        </is>
      </c>
      <c r="F26" s="30"/>
      <c r="G26" s="32"/>
      <c r="H26" s="32"/>
      <c r="I26" s="32"/>
      <c r="J26" s="32"/>
      <c r="K26" s="32"/>
      <c r="L26" s="30"/>
      <c r="M26" s="31"/>
      <c r="N26" s="30"/>
      <c r="O26" s="63" t="inlineStr">
        <is>
          <t xml:space="preserve">Telah Menerima Uang Panjar </t>
        </is>
      </c>
      <c r="P26" s="30"/>
      <c r="Q26" s="30"/>
      <c r="R26" s="30"/>
    </row>
    <row r="27" spans="2:21" ht="16.5" customHeight="1">
      <c r="B27" s="30" t="inlineStr">
        <is>
          <t xml:space="preserve">   Rp. 100.000</t>
        </is>
      </c>
      <c r="C27" s="30"/>
      <c r="D27" s="30"/>
      <c r="E27" s="129"/>
      <c r="F27" s="129"/>
      <c r="G27" s="129"/>
      <c r="H27" s="129"/>
      <c r="I27" s="129"/>
      <c r="J27" s="64"/>
      <c r="K27" s="64"/>
      <c r="L27" s="64"/>
      <c r="M27" s="31"/>
      <c r="N27" s="32"/>
      <c r="O27" s="65" t="inlineStr">
        <is>
          <t>Rp</t>
        </is>
      </c>
      <c r="P27" s="30"/>
      <c r="Q27" s="30"/>
      <c r="R27" s="30"/>
    </row>
    <row r="28" spans="2:21">
      <c r="B28" s="30" t="inlineStr">
        <is>
          <t xml:space="preserve">Bendahara Pengeluaran </t>
        </is>
      </c>
      <c r="C28" s="30"/>
      <c r="D28" s="30"/>
      <c r="E28" s="30"/>
      <c r="F28" s="30"/>
      <c r="G28" s="32"/>
      <c r="H28" s="32"/>
      <c r="I28" s="32"/>
      <c r="J28" s="32"/>
      <c r="K28" s="32"/>
      <c r="L28" s="30"/>
      <c r="M28" s="31"/>
      <c r="N28" s="130" t="inlineStr">
        <is>
          <t>Yang Menerima,</t>
        </is>
      </c>
      <c r="O28" s="130"/>
      <c r="P28" s="30"/>
      <c r="Q28" s="30"/>
      <c r="R28" s="30"/>
    </row>
    <row r="29" spans="2:21"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1"/>
      <c r="N29" s="32"/>
      <c r="O29" s="63"/>
      <c r="P29" s="30"/>
      <c r="Q29" s="30"/>
      <c r="R29" s="30"/>
      <c r="T29" s="66"/>
    </row>
    <row r="30" spans="2:21">
      <c r="B30" s="30"/>
      <c r="C30" s="30"/>
      <c r="D30" s="30"/>
      <c r="E30" s="32"/>
      <c r="F30" s="32"/>
      <c r="G30" s="32"/>
      <c r="H30" s="32"/>
      <c r="I30" s="32"/>
      <c r="J30" s="32"/>
      <c r="K30" s="32"/>
      <c r="L30" s="30"/>
      <c r="M30" s="31"/>
      <c r="N30" s="32"/>
      <c r="O30" s="63"/>
      <c r="P30" s="30"/>
      <c r="Q30" s="30"/>
      <c r="R30" s="30"/>
    </row>
    <row r="31" spans="2:21">
      <c r="B31" s="30"/>
      <c r="C31" s="30"/>
      <c r="D31" s="30"/>
      <c r="E31" s="32"/>
      <c r="F31" s="32"/>
      <c r="G31" s="32"/>
      <c r="H31" s="32"/>
      <c r="I31" s="32"/>
      <c r="J31" s="32"/>
      <c r="K31" s="32"/>
      <c r="L31" s="30"/>
      <c r="M31" s="31"/>
      <c r="N31" s="32"/>
      <c r="O31" s="63"/>
      <c r="P31" s="30"/>
      <c r="Q31" s="30"/>
      <c r="R31" s="30"/>
      <c r="U31" s="66"/>
    </row>
    <row r="32" spans="2:21">
      <c r="B32" s="30"/>
      <c r="C32" s="30"/>
      <c r="D32" s="30"/>
      <c r="E32" s="32"/>
      <c r="F32" s="32"/>
      <c r="G32" s="32"/>
      <c r="H32" s="32"/>
      <c r="I32" s="32"/>
      <c r="J32" s="32"/>
      <c r="K32" s="32"/>
      <c r="L32" s="30"/>
      <c r="M32" s="31"/>
      <c r="N32" s="32"/>
      <c r="O32" s="63"/>
      <c r="P32" s="30"/>
      <c r="Q32" s="30"/>
      <c r="R32" s="30"/>
    </row>
    <row r="33" spans="2:18" ht="15.6">
      <c r="B33" s="67" t="inlineStr">
        <is>
          <t>Ns.Regina Tamboto, S.Kep</t>
        </is>
      </c>
      <c r="C33" s="67"/>
      <c r="D33" s="67"/>
      <c r="E33" s="67"/>
      <c r="F33" s="67"/>
      <c r="G33" s="68"/>
      <c r="H33" s="68"/>
      <c r="I33" s="68"/>
      <c r="J33" s="68"/>
      <c r="K33" s="68"/>
      <c r="L33" s="30" t="inlineStr">
        <is>
          <t xml:space="preserve">                                                   </t>
        </is>
      </c>
      <c r="M33" s="69"/>
      <c r="N33" s="69"/>
      <c r="O33" s="67" t="inlineStr">
        <is>
          <t xml:space="preserve"> Jeine Yunita Pelengkahu, SKG</t>
        </is>
      </c>
      <c r="P33" s="30"/>
      <c r="Q33" s="30"/>
      <c r="R33" s="30"/>
    </row>
    <row r="34" spans="2:18" ht="15.6">
      <c r="B34" s="67" t="inlineStr">
        <is>
          <t>NIP. 19870925 2010012 005</t>
        </is>
      </c>
      <c r="C34" s="67"/>
      <c r="D34" s="67"/>
      <c r="E34" s="67"/>
      <c r="F34" s="30"/>
      <c r="G34" s="30"/>
      <c r="H34" s="30"/>
      <c r="I34" s="30"/>
      <c r="J34" s="70"/>
      <c r="K34" s="71"/>
      <c r="L34" s="30"/>
      <c r="M34" s="72"/>
      <c r="N34" s="73" t="inlineStr">
        <is>
          <t xml:space="preserve">  </t>
        </is>
      </c>
      <c r="O34" s="106" t="inlineStr">
        <is>
          <t>NI PPPK. 1988061620252021049</t>
        </is>
      </c>
      <c r="P34" s="30"/>
      <c r="Q34" s="30"/>
      <c r="R34" s="30"/>
    </row>
    <row r="35" spans="2:18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5"/>
      <c r="N35" s="76"/>
      <c r="O35" s="75"/>
      <c r="P35" s="74"/>
      <c r="Q35" s="74"/>
      <c r="R35" s="74"/>
    </row>
    <row r="36" spans="2:18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1"/>
      <c r="N36" s="32"/>
      <c r="O36" s="31"/>
      <c r="P36" s="30"/>
      <c r="Q36" s="30"/>
      <c r="R36" s="30"/>
    </row>
    <row r="37" spans="2:18">
      <c r="B37" s="131" t="inlineStr">
        <is>
          <t>PERHITUNGAN SPPD RAMPUNG</t>
        </is>
      </c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</row>
    <row r="38" spans="2:18"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1"/>
      <c r="N38" s="32"/>
      <c r="O38" s="31"/>
      <c r="P38" s="30"/>
      <c r="Q38" s="30"/>
      <c r="R38" s="30"/>
    </row>
    <row r="39" spans="2:18">
      <c r="B39" s="30" t="inlineStr">
        <is>
          <t>Ditetapkan Sejumlah</t>
        </is>
      </c>
      <c r="C39" s="30"/>
      <c r="D39" s="30"/>
      <c r="E39" s="30"/>
      <c r="F39" s="30"/>
      <c r="G39" s="77" t="inlineStr">
        <is>
          <t>:</t>
        </is>
      </c>
      <c r="H39" s="132">
        <v>100000</v>
      </c>
      <c r="I39" s="132"/>
      <c r="J39" s="132"/>
      <c r="K39" s="132"/>
      <c r="L39" s="78"/>
      <c r="M39" s="31"/>
      <c r="N39" s="32"/>
      <c r="O39" s="31"/>
      <c r="P39" s="30"/>
      <c r="Q39" s="30"/>
      <c r="R39" s="30"/>
    </row>
    <row r="40" spans="2:18">
      <c r="B40" s="30" t="inlineStr">
        <is>
          <t>Yang Telah Dibayar Semula</t>
        </is>
      </c>
      <c r="C40" s="30"/>
      <c r="D40" s="30"/>
      <c r="E40" s="30"/>
      <c r="F40" s="30"/>
      <c r="G40" s="77" t="inlineStr">
        <is>
          <t>:</t>
        </is>
      </c>
      <c r="H40" s="119" t="str">
        <f>O27</f>
        <v>Rp</v>
      </c>
      <c r="I40" s="119"/>
      <c r="J40" s="119"/>
      <c r="K40" s="119"/>
      <c r="L40" s="30"/>
      <c r="M40" s="31"/>
      <c r="N40" s="32"/>
      <c r="O40" s="31"/>
      <c r="P40" s="30"/>
      <c r="Q40" s="30"/>
      <c r="R40" s="30"/>
    </row>
    <row r="41" spans="2:18">
      <c r="B41" s="30" t="inlineStr">
        <is>
          <t>Sisa Kurang/Lebih</t>
        </is>
      </c>
      <c r="C41" s="30"/>
      <c r="D41" s="30"/>
      <c r="E41" s="30"/>
      <c r="F41" s="30"/>
      <c r="G41" s="77" t="inlineStr">
        <is>
          <t>:</t>
        </is>
      </c>
      <c r="H41" s="118" t="inlineStr">
        <is>
          <t>Rp                   -</t>
        </is>
      </c>
      <c r="I41" s="119"/>
      <c r="J41" s="119"/>
      <c r="K41" s="119"/>
      <c r="L41" s="30"/>
      <c r="M41" s="31"/>
      <c r="N41" s="32"/>
      <c r="O41" s="31"/>
      <c r="P41" s="30"/>
      <c r="Q41" s="30"/>
      <c r="R41" s="30"/>
    </row>
    <row r="42" spans="2:18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1"/>
      <c r="N42" s="32"/>
      <c r="O42" s="31"/>
      <c r="P42" s="30"/>
      <c r="Q42" s="30"/>
      <c r="R42" s="30"/>
    </row>
    <row r="43" spans="2:18">
      <c r="B43" s="30"/>
      <c r="C43" s="79" t="inlineStr">
        <is>
          <t>Mengetahui</t>
        </is>
      </c>
      <c r="D43" s="30"/>
      <c r="E43" s="30"/>
      <c r="F43" s="30"/>
      <c r="G43" s="30"/>
      <c r="H43" s="30"/>
      <c r="I43" s="30"/>
      <c r="J43" s="30"/>
      <c r="K43" s="30"/>
      <c r="L43" s="30"/>
      <c r="M43" s="31"/>
      <c r="N43" s="32"/>
      <c r="O43" s="80" t="inlineStr">
        <is>
          <t>Menyetujui;</t>
        </is>
      </c>
      <c r="P43" s="30"/>
      <c r="Q43" s="30"/>
      <c r="R43" s="30"/>
    </row>
    <row r="44" spans="2:18">
      <c r="B44" s="30"/>
      <c r="C44" s="79" t="inlineStr">
        <is>
          <t>Kuasa Pengguna Anggaran</t>
        </is>
      </c>
      <c r="D44" s="30"/>
      <c r="E44" s="30"/>
      <c r="F44" s="30"/>
      <c r="G44" s="30"/>
      <c r="H44" s="30"/>
      <c r="I44" s="30"/>
      <c r="J44" s="30"/>
      <c r="K44" s="30"/>
      <c r="L44" s="30"/>
      <c r="M44" s="31"/>
      <c r="N44" s="32"/>
      <c r="O44" s="80" t="inlineStr">
        <is>
          <t>PPTK</t>
        </is>
      </c>
      <c r="P44" s="30"/>
      <c r="Q44" s="30"/>
      <c r="R44" s="30"/>
    </row>
    <row r="45" spans="2:18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1"/>
      <c r="N45" s="32"/>
      <c r="O45" s="63"/>
      <c r="P45" s="30"/>
      <c r="Q45" s="30"/>
      <c r="R45" s="30"/>
    </row>
    <row r="46" spans="2:18"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1"/>
      <c r="N46" s="32"/>
      <c r="O46" s="63"/>
      <c r="P46" s="30"/>
      <c r="Q46" s="30"/>
      <c r="R46" s="30"/>
    </row>
    <row r="47" spans="2:18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1"/>
      <c r="N47" s="32"/>
      <c r="O47" s="63"/>
      <c r="P47" s="30"/>
      <c r="Q47" s="30"/>
      <c r="R47" s="30"/>
    </row>
    <row r="48" spans="2:18" ht="15.6">
      <c r="B48" s="67" t="inlineStr">
        <is>
          <t xml:space="preserve"> dr. Winda Marshella Tanuli</t>
        </is>
      </c>
      <c r="C48" s="81"/>
      <c r="D48" s="30"/>
      <c r="E48" s="30"/>
      <c r="F48" s="30"/>
      <c r="G48" s="30"/>
      <c r="H48" s="30"/>
      <c r="I48" s="30"/>
      <c r="J48" s="30"/>
      <c r="K48" s="30"/>
      <c r="L48" s="30"/>
      <c r="M48" s="31"/>
      <c r="N48" s="32"/>
      <c r="O48" s="104" t="inlineStr">
        <is>
          <t>Johnson Munaiseche, Amd. Kep</t>
        </is>
      </c>
      <c r="P48" s="30"/>
      <c r="Q48" s="82"/>
      <c r="R48" s="30"/>
    </row>
    <row r="49" spans="2:18" ht="15.6">
      <c r="B49" s="105" t="inlineStr">
        <is>
          <t>NIP. 198312052011022001</t>
        </is>
      </c>
      <c r="C49" s="83"/>
      <c r="D49" s="83"/>
      <c r="E49" s="83"/>
      <c r="F49" s="30"/>
      <c r="G49" s="30"/>
      <c r="H49" s="30"/>
      <c r="I49" s="30"/>
      <c r="J49" s="30"/>
      <c r="K49" s="30"/>
      <c r="L49" s="30"/>
      <c r="M49" s="31"/>
      <c r="N49" s="32"/>
      <c r="O49" s="67" t="inlineStr">
        <is>
          <t>NIP : 198907212010011001</t>
        </is>
      </c>
      <c r="P49" s="30"/>
      <c r="Q49" s="84"/>
      <c r="R49" s="30"/>
    </row>
    <row r="50" spans="2:18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1"/>
      <c r="N50" s="32"/>
      <c r="O50" s="85"/>
      <c r="P50" s="30"/>
      <c r="Q50" s="30"/>
      <c r="R50" s="30"/>
    </row>
    <row r="51" spans="2:18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1"/>
      <c r="N51" s="32"/>
      <c r="O51" s="31"/>
      <c r="P51" s="30"/>
      <c r="Q51" s="30"/>
      <c r="R51" s="30"/>
    </row>
    <row r="52" spans="2:18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1"/>
      <c r="N52" s="32"/>
      <c r="O52" s="31"/>
      <c r="P52" s="30"/>
      <c r="Q52" s="30"/>
      <c r="R52" s="30"/>
    </row>
  </sheetData>
  <mergeCells count="25">
    <mergeCell ref="H41:K41"/>
    <mergeCell ref="O13:O14"/>
    <mergeCell ref="B13:N14"/>
    <mergeCell ref="P13:R14"/>
    <mergeCell ref="E27:I27"/>
    <mergeCell ref="N28:O28"/>
    <mergeCell ref="B37:R37"/>
    <mergeCell ref="H39:K39"/>
    <mergeCell ref="H40:K40"/>
    <mergeCell ref="C18:N18"/>
    <mergeCell ref="C19:N19"/>
    <mergeCell ref="P19:R19"/>
    <mergeCell ref="P20:R20"/>
    <mergeCell ref="O24:P24"/>
    <mergeCell ref="P15:R15"/>
    <mergeCell ref="C16:N16"/>
    <mergeCell ref="P16:R16"/>
    <mergeCell ref="C17:N17"/>
    <mergeCell ref="P17:R17"/>
    <mergeCell ref="B1:R1"/>
    <mergeCell ref="B2:R2"/>
    <mergeCell ref="B6:R6"/>
    <mergeCell ref="E9:J9"/>
    <mergeCell ref="B5:Q5"/>
    <mergeCell ref="B4:Q4"/>
  </mergeCells>
  <pageMargins left="0.36" right="0.28999999999999998" top="0.75" bottom="0.75" header="0.28999999999999998" footer="0.3"/>
  <pageSetup paperSize="9" scale="90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PJD Drg Meldy</vt:lpstr>
      <vt:lpstr>Sheet3</vt:lpstr>
      <vt:lpstr>RIL SPPD DLM DAERAH (2)</vt:lpstr>
      <vt:lpstr>Sheet1</vt:lpstr>
      <vt:lpstr>Sheet2</vt:lpstr>
      <vt:lpstr>Sheet4</vt:lpstr>
      <vt:lpstr>Sheet5</vt:lpstr>
      <vt:lpstr>Sheet4 (2)</vt:lpstr>
      <vt:lpstr>'RIL SPPD DLM DAERAH (2)'!Print_Area</vt:lpstr>
      <vt:lpstr>Sheet4!Print_Area</vt:lpstr>
      <vt:lpstr>'Sheet4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johnson munaiseche</cp:lastModifiedBy>
  <cp:lastPrinted>2026-09-03T03:10:38Z</cp:lastPrinted>
  <dcterms:created xsi:type="dcterms:W3CDTF">2006-09-16T00:00:00Z</dcterms:created>
  <dcterms:modified xsi:type="dcterms:W3CDTF">2026-09-15T05:38:10Z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23E22A6C8DED43C6A13CB13F43DAF8DA_12</vt:lpwstr>
  </property>
  <property fmtid="{D5CDD505-2E9C-101B-9397-08002B2CF9AE}" pid="3" name="KSOProductBuildVer">
    <vt:lpwstr>1057-12.1.0.27458</vt:lpwstr>
  </property>
  <property fmtid="{D5CDD505-2E9C-101B-9397-08002B2CF9AE}" pid="4" name="CalculationRule">
    <vt:i4>0</vt:i4>
  </property>
</Properties>
</file>